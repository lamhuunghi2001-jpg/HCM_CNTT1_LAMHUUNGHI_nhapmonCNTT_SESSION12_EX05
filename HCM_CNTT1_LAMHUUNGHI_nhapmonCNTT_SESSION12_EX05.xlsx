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tit_rikkei\it1_cntt1\session12\bai05\"/>
    </mc:Choice>
  </mc:AlternateContent>
  <xr:revisionPtr revIDLastSave="0" documentId="8_{66E2065F-DF8F-424D-A562-FCB78A2F82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hat ky he thong" sheetId="1" r:id="rId1"/>
    <sheet name="Co so du lieu virus" sheetId="2" r:id="rId2"/>
  </sheets>
  <definedNames>
    <definedName name="_xlnm._FilterDatabase" localSheetId="1" hidden="1">'Co so du lieu virus'!$A$1:$D$5</definedName>
    <definedName name="_xlnm._FilterDatabase" localSheetId="0" hidden="1">'Nhat ky he thong'!$A$1:$G$9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G8" i="1"/>
  <c r="F8" i="1"/>
  <c r="G7" i="1"/>
  <c r="F7" i="1"/>
  <c r="G6" i="1"/>
  <c r="F6" i="1"/>
  <c r="G5" i="1"/>
  <c r="F5" i="1"/>
  <c r="G4" i="1"/>
  <c r="F4" i="1"/>
  <c r="I3" i="1"/>
  <c r="G3" i="1"/>
  <c r="F3" i="1"/>
  <c r="G2" i="1"/>
  <c r="F2" i="1"/>
</calcChain>
</file>

<file path=xl/sharedStrings.xml><?xml version="1.0" encoding="utf-8"?>
<sst xmlns="http://schemas.openxmlformats.org/spreadsheetml/2006/main" count="70" uniqueCount="51">
  <si>
    <t>Thời gian</t>
  </si>
  <si>
    <t>IP nguồn</t>
  </si>
  <si>
    <t>IP đích</t>
  </si>
  <si>
    <t>Mã loại mã độc</t>
  </si>
  <si>
    <t>Mức độ</t>
  </si>
  <si>
    <t>Tên mã độc</t>
  </si>
  <si>
    <t>Mô tả</t>
  </si>
  <si>
    <t>Cách dùng</t>
  </si>
  <si>
    <t>2024-05-20 08:15:23</t>
  </si>
  <si>
    <t>192.168.1.10</t>
  </si>
  <si>
    <t>10.0.0.5</t>
  </si>
  <si>
    <t xml:space="preserve"> MDL_1023 </t>
  </si>
  <si>
    <t>Cao</t>
  </si>
  <si>
    <t>TRIM loại bỏ khoảng trắng thừa trước khi VLOOKUP tra cứu.</t>
  </si>
  <si>
    <t>2024-05-20 08:17:11</t>
  </si>
  <si>
    <t>192.168.1.23</t>
  </si>
  <si>
    <t>10.0.0.8</t>
  </si>
  <si>
    <t>MDL_2045</t>
  </si>
  <si>
    <t>Trung bình</t>
  </si>
  <si>
    <t>2024-05-20 08:21:02</t>
  </si>
  <si>
    <t>10.0.0.12</t>
  </si>
  <si>
    <t>MDL_3099</t>
  </si>
  <si>
    <t>Chọn Data &gt; Filter để lọc theo mã độc, IP hoặc mức độ.</t>
  </si>
  <si>
    <t>2024-05-20 08:23:45</t>
  </si>
  <si>
    <t>192.168.1.18</t>
  </si>
  <si>
    <t>10.0.0.15</t>
  </si>
  <si>
    <t xml:space="preserve"> MDL_2045</t>
  </si>
  <si>
    <t>Thấp</t>
  </si>
  <si>
    <t>2024-05-20 08:29:10</t>
  </si>
  <si>
    <t>192.168.1.31</t>
  </si>
  <si>
    <t>10.0.0.21</t>
  </si>
  <si>
    <t>MDL_1023</t>
  </si>
  <si>
    <t>2024-05-20 08:34:56</t>
  </si>
  <si>
    <t>10.0.0.9</t>
  </si>
  <si>
    <t>MDL_8888</t>
  </si>
  <si>
    <t>2024-05-20 08:40:03</t>
  </si>
  <si>
    <t>192.168.1.44</t>
  </si>
  <si>
    <t>10.0.0.18</t>
  </si>
  <si>
    <t xml:space="preserve">MDL_3099 </t>
  </si>
  <si>
    <t>2024-05-20 08:47:19</t>
  </si>
  <si>
    <t>10.0.0.25</t>
  </si>
  <si>
    <t>Mức độ mặc định</t>
  </si>
  <si>
    <t>Emotet</t>
  </si>
  <si>
    <t>Banking Trojan</t>
  </si>
  <si>
    <t>LokiBot</t>
  </si>
  <si>
    <t>Info Stealer</t>
  </si>
  <si>
    <t>Cobalt Strike</t>
  </si>
  <si>
    <t>Công cụ kiểm thử xâm nhập; có thể bị lạm dụng</t>
  </si>
  <si>
    <t>Chưa xác định</t>
  </si>
  <si>
    <t>Chưa có thông tin trong cơ sở dữ liệu</t>
  </si>
  <si>
    <t>Chưa rõ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</si>
</sst>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84A"/>
      </patternFill>
    </fill>
    <fill>
      <patternFill patternType="solid">
        <fgColor rgb="FFEF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0" fillId="3" borderId="0" xfId="0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5" customWidth="1"/>
    <col min="3" max="3" width="14" customWidth="1"/>
    <col min="4" max="4" width="17" customWidth="1"/>
    <col min="5" max="5" width="14" customWidth="1"/>
    <col min="6" max="7" width="42" customWidth="1"/>
    <col min="9" max="9" width="6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spans="1:9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tr">
        <f>IFERROR(VLOOKUP(TRIM(D2),'Co so du lieu virus'!$A$2:$D$5,2,FALSE),"Không tìm thấy")</f>
        <v>Emotet</v>
      </c>
      <c r="G2" s="3" t="str">
        <f>IFERROR(VLOOKUP(TRIM(D2),'Co so du lieu virus'!$A$2:$D$5,3,FALSE),"Không tìm thấy")</f>
        <v>Banking Trojan</v>
      </c>
      <c r="I2" s="4" t="s">
        <v>13</v>
      </c>
    </row>
    <row r="3" spans="1:9" ht="40.049999999999997" customHeight="1" x14ac:dyDescent="0.3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tr">
        <f>IFERROR(VLOOKUP(TRIM(D3),'Co so du lieu virus'!$A$2:$D$5,2,FALSE),"Không tìm thấy")</f>
        <v>LokiBot</v>
      </c>
      <c r="G3" s="5" t="str">
        <f>IFERROR(VLOOKUP(TRIM(D3),'Co so du lieu virus'!$A$2:$D$5,3,FALSE),"Không tìm thấy")</f>
        <v>Info Stealer</v>
      </c>
      <c r="I3" s="4" t="str">
        <f>IFERROR(VLOOKUP(TRIM(D2),'Co so du lieu virus'!$A$2:$D$5,2,FALSE),"Không tìm thấy")</f>
        <v>Emotet</v>
      </c>
    </row>
    <row r="4" spans="1:9" x14ac:dyDescent="0.3">
      <c r="A4" s="3" t="s">
        <v>19</v>
      </c>
      <c r="B4" s="3" t="s">
        <v>9</v>
      </c>
      <c r="C4" s="3" t="s">
        <v>20</v>
      </c>
      <c r="D4" s="3" t="s">
        <v>21</v>
      </c>
      <c r="E4" s="3" t="s">
        <v>12</v>
      </c>
      <c r="F4" s="3" t="str">
        <f>IFERROR(VLOOKUP(TRIM(D4),'Co so du lieu virus'!$A$2:$D$5,2,FALSE),"Không tìm thấy")</f>
        <v>Cobalt Strike</v>
      </c>
      <c r="G4" s="3" t="str">
        <f>IFERROR(VLOOKUP(TRIM(D4),'Co so du lieu virus'!$A$2:$D$5,3,FALSE),"Không tìm thấy")</f>
        <v>Công cụ kiểm thử xâm nhập; có thể bị lạm dụng</v>
      </c>
      <c r="I4" s="4" t="s">
        <v>22</v>
      </c>
    </row>
    <row r="5" spans="1:9" x14ac:dyDescent="0.3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tr">
        <f>IFERROR(VLOOKUP(TRIM(D5),'Co so du lieu virus'!$A$2:$D$5,2,FALSE),"Không tìm thấy")</f>
        <v>LokiBot</v>
      </c>
      <c r="G5" s="5" t="str">
        <f>IFERROR(VLOOKUP(TRIM(D5),'Co so du lieu virus'!$A$2:$D$5,3,FALSE),"Không tìm thấy")</f>
        <v>Info Stealer</v>
      </c>
    </row>
    <row r="6" spans="1:9" x14ac:dyDescent="0.3">
      <c r="A6" s="3" t="s">
        <v>28</v>
      </c>
      <c r="B6" s="3" t="s">
        <v>29</v>
      </c>
      <c r="C6" s="3" t="s">
        <v>30</v>
      </c>
      <c r="D6" s="3" t="s">
        <v>31</v>
      </c>
      <c r="E6" s="3" t="s">
        <v>12</v>
      </c>
      <c r="F6" s="3" t="str">
        <f>IFERROR(VLOOKUP(TRIM(D6),'Co so du lieu virus'!$A$2:$D$5,2,FALSE),"Không tìm thấy")</f>
        <v>Emotet</v>
      </c>
      <c r="G6" s="3" t="str">
        <f>IFERROR(VLOOKUP(TRIM(D6),'Co so du lieu virus'!$A$2:$D$5,3,FALSE),"Không tìm thấy")</f>
        <v>Banking Trojan</v>
      </c>
    </row>
    <row r="7" spans="1:9" x14ac:dyDescent="0.3">
      <c r="A7" s="5" t="s">
        <v>32</v>
      </c>
      <c r="B7" s="5" t="s">
        <v>15</v>
      </c>
      <c r="C7" s="5" t="s">
        <v>33</v>
      </c>
      <c r="D7" s="5" t="s">
        <v>34</v>
      </c>
      <c r="E7" s="5" t="s">
        <v>18</v>
      </c>
      <c r="F7" s="5" t="str">
        <f>IFERROR(VLOOKUP(TRIM(D7),'Co so du lieu virus'!$A$2:$D$5,2,FALSE),"Không tìm thấy")</f>
        <v>Chưa xác định</v>
      </c>
      <c r="G7" s="5" t="str">
        <f>IFERROR(VLOOKUP(TRIM(D7),'Co so du lieu virus'!$A$2:$D$5,3,FALSE),"Không tìm thấy")</f>
        <v>Chưa có thông tin trong cơ sở dữ liệu</v>
      </c>
    </row>
    <row r="8" spans="1:9" x14ac:dyDescent="0.3">
      <c r="A8" s="3" t="s">
        <v>35</v>
      </c>
      <c r="B8" s="3" t="s">
        <v>36</v>
      </c>
      <c r="C8" s="3" t="s">
        <v>37</v>
      </c>
      <c r="D8" s="3" t="s">
        <v>38</v>
      </c>
      <c r="E8" s="3" t="s">
        <v>12</v>
      </c>
      <c r="F8" s="3" t="str">
        <f>IFERROR(VLOOKUP(TRIM(D8),'Co so du lieu virus'!$A$2:$D$5,2,FALSE),"Không tìm thấy")</f>
        <v>Cobalt Strike</v>
      </c>
      <c r="G8" s="3" t="str">
        <f>IFERROR(VLOOKUP(TRIM(D8),'Co so du lieu virus'!$A$2:$D$5,3,FALSE),"Không tìm thấy")</f>
        <v>Công cụ kiểm thử xâm nhập; có thể bị lạm dụng</v>
      </c>
    </row>
    <row r="9" spans="1:9" x14ac:dyDescent="0.3">
      <c r="A9" s="5" t="s">
        <v>39</v>
      </c>
      <c r="B9" s="5" t="s">
        <v>9</v>
      </c>
      <c r="C9" s="5" t="s">
        <v>40</v>
      </c>
      <c r="D9" s="5" t="s">
        <v>17</v>
      </c>
      <c r="E9" s="5" t="s">
        <v>18</v>
      </c>
      <c r="F9" s="5" t="str">
        <f>IFERROR(VLOOKUP(TRIM(D9),'Co so du lieu virus'!$A$2:$D$5,2,FALSE),"Không tìm thấy")</f>
        <v>LokiBot</v>
      </c>
      <c r="G9" s="5" t="str">
        <f>IFERROR(VLOOKUP(TRIM(D9),'Co so du lieu virus'!$A$2:$D$5,3,FALSE),"Không tìm thấy")</f>
        <v>Info Stealer</v>
      </c>
    </row>
  </sheetData>
  <autoFilter ref="A1:G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6" customWidth="1"/>
    <col min="3" max="3" width="42" customWidth="1"/>
    <col min="4" max="4" width="18" customWidth="1"/>
  </cols>
  <sheetData>
    <row r="1" spans="1:4" x14ac:dyDescent="0.3">
      <c r="A1" s="1" t="s">
        <v>3</v>
      </c>
      <c r="B1" s="1" t="s">
        <v>5</v>
      </c>
      <c r="C1" s="1" t="s">
        <v>6</v>
      </c>
      <c r="D1" s="1" t="s">
        <v>41</v>
      </c>
    </row>
    <row r="2" spans="1:4" x14ac:dyDescent="0.3">
      <c r="A2" s="3" t="s">
        <v>31</v>
      </c>
      <c r="B2" s="3" t="s">
        <v>42</v>
      </c>
      <c r="C2" s="3" t="s">
        <v>43</v>
      </c>
      <c r="D2" s="3" t="s">
        <v>12</v>
      </c>
    </row>
    <row r="3" spans="1:4" x14ac:dyDescent="0.3">
      <c r="A3" s="5" t="s">
        <v>17</v>
      </c>
      <c r="B3" s="5" t="s">
        <v>44</v>
      </c>
      <c r="C3" s="5" t="s">
        <v>45</v>
      </c>
      <c r="D3" s="5" t="s">
        <v>18</v>
      </c>
    </row>
    <row r="4" spans="1:4" x14ac:dyDescent="0.3">
      <c r="A4" s="3" t="s">
        <v>21</v>
      </c>
      <c r="B4" s="3" t="s">
        <v>46</v>
      </c>
      <c r="C4" s="3" t="s">
        <v>47</v>
      </c>
      <c r="D4" s="3" t="s">
        <v>12</v>
      </c>
    </row>
    <row r="5" spans="1:4" x14ac:dyDescent="0.3">
      <c r="A5" s="5" t="s">
        <v>34</v>
      </c>
      <c r="B5" s="5" t="s">
        <v>48</v>
      </c>
      <c r="C5" s="5" t="s">
        <v>49</v>
      </c>
      <c r="D5" s="5" t="s">
        <v>50</v>
      </c>
    </row>
  </sheetData>
  <autoFilter ref="A1:D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Nhat ky he thong</vt:lpstr>
      <vt:lpstr>Co so du lieu virus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nghị lâm</cp:lastModifiedBy>
  <dcterms:created xsi:type="dcterms:W3CDTF">2026-10-26T14:27:45Z</dcterms:created>
  <dcterms:modified xsi:type="dcterms:W3CDTF">2026-10-26T14:42:16Z</dcterms:modified>
</cp:coreProperties>
</file>